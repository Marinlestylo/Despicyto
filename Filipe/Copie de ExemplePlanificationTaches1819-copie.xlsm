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FIN1\PROJETS\032-P_Dev\SpicyNvader\Filipe\"/>
    </mc:Choice>
  </mc:AlternateContent>
  <bookViews>
    <workbookView xWindow="0" yWindow="0" windowWidth="25200" windowHeight="1314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 localSheetId="5">#REF!</definedName>
    <definedName name="ListTasks">Diagramme!$B$3:$B$52</definedName>
    <definedName name="lstTasks">Donnees!$C$20:$C$45</definedName>
    <definedName name="NbLessons" localSheetId="5">#REF!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62" i="157" l="1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79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265" i="155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<sst xmlns="http://schemas.openxmlformats.org/spreadsheetml/2006/main" count="445" uniqueCount="77">
  <si>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</si>
  <si>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</si>
  <si>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</si>
  <si>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</si>
  <si>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</si>
  <si>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</si>
  <si>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</si>
  <si>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</si>
  <si>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</si>
  <si>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</si>
  <si>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</si>
  <si>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</si>
  <si>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</si>
  <si>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</si>
  <si>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</si>
  <si>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</si>
  <si>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</si>
  <si>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</si>
  <si>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</si>
  <si>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</si>
  <si>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</si>
  <si>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</si>
  <si>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</si>
  <si>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</si>
  <si>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</si>
  <si>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</si>
  <si>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</si>
  <si>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</si>
  <si>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</si>
  <si>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</si>
  <si>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</si>
  <si>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</si>
  <si>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</si>
  <si>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</si>
  <si>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</si>
  <si>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</si>
  <si>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</si>
  <si>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</si>
  <si>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</si>
  <si>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</si>
  <si>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</si>
  <si>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</si>
  <si>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</si>
  <si>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</si>
  <si>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</si>
  <si>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</si>
  <si>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</si>
  <si>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</si>
  <si>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</si>
  <si>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</si>
  <si>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</si>
  <si>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</si>
  <si>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</si>
  <si>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</si>
  <si>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</si>
  <si>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</si>
  <si>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</si>
  <si>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</si>
  <si>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</si>
  <si>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</si>
  <si>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</si>
  <si>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</si>
  <si>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</si>
  <si>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</si>
  <si>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</si>
  <si>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</si>
  <si>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</si>
  <si>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</si>
  <si>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</si>
  <si>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</si>
  <si>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</si>
  <si>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FIN 1</t>
  </si>
  <si>
    <t>Jonathan Friedli &amp; Filipe Barros</t>
  </si>
  <si>
    <t>Relâches</t>
  </si>
  <si>
    <t>Pâques</t>
  </si>
  <si>
    <t>Journal de travail</t>
  </si>
  <si>
    <t>Tests unitaires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</si>
</sst>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1" sqref="C4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72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71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20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19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 t="s">
        <v>45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46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 t="s">
        <v>47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48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49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1" thickBot="1" x14ac:dyDescent="0.3">
      <c r="A44" s="79"/>
      <c r="B44" s="82">
        <v>24</v>
      </c>
      <c r="C44" s="85" t="s">
        <v>76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75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5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231" ht="14.25" thickBot="1" x14ac:dyDescent="0.3">
      <c r="B1" s="91"/>
      <c r="C1" s="91"/>
    </row>
    <row r="2" spans="1:231" ht="42.75" customHeight="1" thickBot="1" x14ac:dyDescent="0.3">
      <c r="A2" s="92"/>
      <c r="B2" s="23" t="s">
        <v>5</v>
      </c>
      <c r="C2" s="15" t="s">
        <v>18</v>
      </c>
      <c r="D2" s="120" t="s">
        <v>52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53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54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55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56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57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58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59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  <c r="CV2" s="120" t="s">
        <v>60</v>
      </c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2"/>
      <c r="DH2" s="120" t="s">
        <v>61</v>
      </c>
      <c r="DI2" s="121"/>
      <c r="DJ2" s="121"/>
      <c r="DK2" s="121"/>
      <c r="DL2" s="121"/>
      <c r="DM2" s="121"/>
      <c r="DN2" s="121"/>
      <c r="DO2" s="121"/>
      <c r="DP2" s="121"/>
      <c r="DQ2" s="121"/>
      <c r="DR2" s="121"/>
      <c r="DS2" s="122"/>
      <c r="DT2" s="120" t="s">
        <v>62</v>
      </c>
      <c r="DU2" s="121"/>
      <c r="DV2" s="121"/>
      <c r="DW2" s="121"/>
      <c r="DX2" s="121"/>
      <c r="DY2" s="121"/>
      <c r="DZ2" s="121"/>
      <c r="EA2" s="121"/>
      <c r="EB2" s="121"/>
      <c r="EC2" s="121"/>
      <c r="ED2" s="121"/>
      <c r="EE2" s="122"/>
      <c r="EF2" s="120" t="s">
        <v>63</v>
      </c>
      <c r="EG2" s="121"/>
      <c r="EH2" s="121"/>
      <c r="EI2" s="121"/>
      <c r="EJ2" s="121"/>
      <c r="EK2" s="121"/>
      <c r="EL2" s="121"/>
      <c r="EM2" s="121"/>
      <c r="EN2" s="121"/>
      <c r="EO2" s="121"/>
      <c r="EP2" s="121"/>
      <c r="EQ2" s="122"/>
      <c r="ER2" s="120" t="s">
        <v>64</v>
      </c>
      <c r="ES2" s="121"/>
      <c r="ET2" s="121"/>
      <c r="EU2" s="121"/>
      <c r="EV2" s="121"/>
      <c r="EW2" s="121"/>
      <c r="EX2" s="121"/>
      <c r="EY2" s="121"/>
      <c r="EZ2" s="121"/>
      <c r="FA2" s="121"/>
      <c r="FB2" s="121"/>
      <c r="FC2" s="122"/>
      <c r="FD2" s="120" t="s">
        <v>65</v>
      </c>
      <c r="FE2" s="121"/>
      <c r="FF2" s="121"/>
      <c r="FG2" s="121"/>
      <c r="FH2" s="121"/>
      <c r="FI2" s="121"/>
      <c r="FJ2" s="121"/>
      <c r="FK2" s="121"/>
      <c r="FL2" s="121"/>
      <c r="FM2" s="121"/>
      <c r="FN2" s="121"/>
      <c r="FO2" s="122"/>
      <c r="FP2" s="120" t="s">
        <v>66</v>
      </c>
      <c r="FQ2" s="121"/>
      <c r="FR2" s="121"/>
      <c r="FS2" s="121"/>
      <c r="FT2" s="121"/>
      <c r="FU2" s="121"/>
      <c r="FV2" s="121"/>
      <c r="FW2" s="121"/>
      <c r="FX2" s="121"/>
      <c r="FY2" s="121"/>
      <c r="FZ2" s="121"/>
      <c r="GA2" s="122"/>
      <c r="GB2" s="120" t="s">
        <v>67</v>
      </c>
      <c r="GC2" s="121"/>
      <c r="GD2" s="121"/>
      <c r="GE2" s="121"/>
      <c r="GF2" s="121"/>
      <c r="GG2" s="121"/>
      <c r="GH2" s="121"/>
      <c r="GI2" s="121"/>
      <c r="GJ2" s="121"/>
      <c r="GK2" s="121"/>
      <c r="GL2" s="121"/>
      <c r="GM2" s="122"/>
      <c r="GN2" s="120" t="s">
        <v>68</v>
      </c>
      <c r="GO2" s="121"/>
      <c r="GP2" s="121"/>
      <c r="GQ2" s="121"/>
      <c r="GR2" s="121"/>
      <c r="GS2" s="121"/>
      <c r="GT2" s="121"/>
      <c r="GU2" s="121"/>
      <c r="GV2" s="121"/>
      <c r="GW2" s="121"/>
      <c r="GX2" s="121"/>
      <c r="GY2" s="122"/>
      <c r="GZ2" s="120" t="s">
        <v>69</v>
      </c>
      <c r="HA2" s="121"/>
      <c r="HB2" s="121"/>
      <c r="HC2" s="121"/>
      <c r="HD2" s="121"/>
      <c r="HE2" s="121"/>
      <c r="HF2" s="121"/>
      <c r="HG2" s="121"/>
      <c r="HH2" s="121"/>
      <c r="HI2" s="121"/>
      <c r="HJ2" s="121"/>
      <c r="HK2" s="122"/>
      <c r="HL2" s="120" t="s">
        <v>70</v>
      </c>
      <c r="HM2" s="121"/>
      <c r="HN2" s="121"/>
      <c r="HO2" s="121"/>
      <c r="HP2" s="121"/>
      <c r="HQ2" s="121"/>
      <c r="HR2" s="121"/>
      <c r="HS2" s="121"/>
      <c r="HT2" s="121"/>
      <c r="HU2" s="121"/>
      <c r="HV2" s="121"/>
      <c r="HW2" s="122"/>
    </row>
    <row r="3" spans="1:231" ht="19.5" customHeight="1" x14ac:dyDescent="0.25">
      <c r="A3" s="92"/>
      <c r="B3" s="117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  <c r="GN3" s="93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7"/>
      <c r="GZ3" s="93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7"/>
    </row>
    <row r="4" spans="1:231" ht="19.5" customHeight="1" thickBot="1" x14ac:dyDescent="0.3">
      <c r="A4" s="92"/>
      <c r="B4" s="118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  <c r="GN4" s="98"/>
      <c r="GO4" s="99"/>
      <c r="GP4" s="100"/>
      <c r="GQ4" s="101"/>
      <c r="GR4" s="99"/>
      <c r="GS4" s="100"/>
      <c r="GT4" s="101"/>
      <c r="GU4" s="99"/>
      <c r="GV4" s="100"/>
      <c r="GW4" s="101"/>
      <c r="GX4" s="99"/>
      <c r="GY4" s="102"/>
      <c r="GZ4" s="98"/>
      <c r="HA4" s="99"/>
      <c r="HB4" s="100"/>
      <c r="HC4" s="101"/>
      <c r="HD4" s="99"/>
      <c r="HE4" s="100"/>
      <c r="HF4" s="101"/>
      <c r="HG4" s="99"/>
      <c r="HH4" s="100"/>
      <c r="HI4" s="101"/>
      <c r="HJ4" s="99"/>
      <c r="HK4" s="102"/>
      <c r="HL4" s="98"/>
      <c r="HM4" s="99"/>
      <c r="HN4" s="100"/>
      <c r="HO4" s="101"/>
      <c r="HP4" s="99"/>
      <c r="HQ4" s="100"/>
      <c r="HR4" s="101"/>
      <c r="HS4" s="99"/>
      <c r="HT4" s="100"/>
      <c r="HU4" s="101"/>
      <c r="HV4" s="99"/>
      <c r="HW4" s="102"/>
    </row>
    <row r="5" spans="1:231" ht="19.5" customHeight="1" x14ac:dyDescent="0.25">
      <c r="B5" s="119" t="str">
        <f>Donnees!$C$21</f>
        <v>Lecture du cahier des charge / planification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  <c r="GN5" s="93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7"/>
      <c r="GZ5" s="93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7"/>
    </row>
    <row r="6" spans="1:231" ht="19.5" customHeight="1" thickBot="1" x14ac:dyDescent="0.3">
      <c r="B6" s="116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  <c r="GN6" s="98"/>
      <c r="GO6" s="99"/>
      <c r="GP6" s="100"/>
      <c r="GQ6" s="101"/>
      <c r="GR6" s="99"/>
      <c r="GS6" s="100"/>
      <c r="GT6" s="101"/>
      <c r="GU6" s="99"/>
      <c r="GV6" s="100"/>
      <c r="GW6" s="101"/>
      <c r="GX6" s="99"/>
      <c r="GY6" s="102"/>
      <c r="GZ6" s="98"/>
      <c r="HA6" s="99"/>
      <c r="HB6" s="100"/>
      <c r="HC6" s="101"/>
      <c r="HD6" s="99"/>
      <c r="HE6" s="100"/>
      <c r="HF6" s="101"/>
      <c r="HG6" s="99"/>
      <c r="HH6" s="100"/>
      <c r="HI6" s="101"/>
      <c r="HJ6" s="99"/>
      <c r="HK6" s="102"/>
      <c r="HL6" s="98"/>
      <c r="HM6" s="99"/>
      <c r="HN6" s="100"/>
      <c r="HO6" s="101"/>
      <c r="HP6" s="99"/>
      <c r="HQ6" s="100"/>
      <c r="HR6" s="101"/>
      <c r="HS6" s="99"/>
      <c r="HT6" s="100"/>
      <c r="HU6" s="101"/>
      <c r="HV6" s="99"/>
      <c r="HW6" s="102"/>
    </row>
    <row r="7" spans="1:231" ht="19.5" customHeight="1" x14ac:dyDescent="0.25">
      <c r="B7" s="115" t="str">
        <f>Donnees!$C$22</f>
        <v>Menu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  <c r="GN7" s="93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7"/>
      <c r="GZ7" s="93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7"/>
    </row>
    <row r="8" spans="1:231" ht="19.5" customHeight="1" thickBot="1" x14ac:dyDescent="0.3">
      <c r="B8" s="116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  <c r="GN8" s="98"/>
      <c r="GO8" s="99"/>
      <c r="GP8" s="100"/>
      <c r="GQ8" s="101"/>
      <c r="GR8" s="99"/>
      <c r="GS8" s="100"/>
      <c r="GT8" s="101"/>
      <c r="GU8" s="99"/>
      <c r="GV8" s="100"/>
      <c r="GW8" s="101"/>
      <c r="GX8" s="99"/>
      <c r="GY8" s="102"/>
      <c r="GZ8" s="98"/>
      <c r="HA8" s="99"/>
      <c r="HB8" s="100"/>
      <c r="HC8" s="101"/>
      <c r="HD8" s="99"/>
      <c r="HE8" s="100"/>
      <c r="HF8" s="101"/>
      <c r="HG8" s="99"/>
      <c r="HH8" s="100"/>
      <c r="HI8" s="101"/>
      <c r="HJ8" s="99"/>
      <c r="HK8" s="102"/>
      <c r="HL8" s="98"/>
      <c r="HM8" s="99"/>
      <c r="HN8" s="100"/>
      <c r="HO8" s="101"/>
      <c r="HP8" s="99"/>
      <c r="HQ8" s="100"/>
      <c r="HR8" s="101"/>
      <c r="HS8" s="99"/>
      <c r="HT8" s="100"/>
      <c r="HU8" s="101"/>
      <c r="HV8" s="99"/>
      <c r="HW8" s="102"/>
    </row>
    <row r="9" spans="1:231" ht="19.5" customHeight="1" x14ac:dyDescent="0.25">
      <c r="B9" s="115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  <c r="GN9" s="93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7"/>
      <c r="GZ9" s="93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7"/>
    </row>
    <row r="10" spans="1:231" ht="19.5" customHeight="1" thickBot="1" x14ac:dyDescent="0.3">
      <c r="B10" s="116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  <c r="GN10" s="98"/>
      <c r="GO10" s="99"/>
      <c r="GP10" s="100"/>
      <c r="GQ10" s="101"/>
      <c r="GR10" s="99"/>
      <c r="GS10" s="100"/>
      <c r="GT10" s="101"/>
      <c r="GU10" s="99"/>
      <c r="GV10" s="100"/>
      <c r="GW10" s="101"/>
      <c r="GX10" s="99"/>
      <c r="GY10" s="102"/>
      <c r="GZ10" s="98"/>
      <c r="HA10" s="99"/>
      <c r="HB10" s="100"/>
      <c r="HC10" s="101"/>
      <c r="HD10" s="99"/>
      <c r="HE10" s="100"/>
      <c r="HF10" s="101"/>
      <c r="HG10" s="99"/>
      <c r="HH10" s="100"/>
      <c r="HI10" s="101"/>
      <c r="HJ10" s="99"/>
      <c r="HK10" s="102"/>
      <c r="HL10" s="98"/>
      <c r="HM10" s="99"/>
      <c r="HN10" s="100"/>
      <c r="HO10" s="101"/>
      <c r="HP10" s="99"/>
      <c r="HQ10" s="100"/>
      <c r="HR10" s="101"/>
      <c r="HS10" s="99"/>
      <c r="HT10" s="100"/>
      <c r="HU10" s="101"/>
      <c r="HV10" s="99"/>
      <c r="HW10" s="102"/>
    </row>
    <row r="11" spans="1:231" ht="19.5" customHeight="1" x14ac:dyDescent="0.25">
      <c r="B11" s="115" t="str">
        <f>Donnees!$C$24</f>
        <v>Menu-Options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  <c r="GN11" s="93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7"/>
      <c r="GZ11" s="93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7"/>
    </row>
    <row r="12" spans="1:231" ht="19.5" customHeight="1" thickBot="1" x14ac:dyDescent="0.3">
      <c r="B12" s="116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  <c r="GN12" s="98"/>
      <c r="GO12" s="99"/>
      <c r="GP12" s="100"/>
      <c r="GQ12" s="101"/>
      <c r="GR12" s="99"/>
      <c r="GS12" s="100"/>
      <c r="GT12" s="101"/>
      <c r="GU12" s="99"/>
      <c r="GV12" s="100"/>
      <c r="GW12" s="101"/>
      <c r="GX12" s="99"/>
      <c r="GY12" s="102"/>
      <c r="GZ12" s="98"/>
      <c r="HA12" s="99"/>
      <c r="HB12" s="100"/>
      <c r="HC12" s="101"/>
      <c r="HD12" s="99"/>
      <c r="HE12" s="100"/>
      <c r="HF12" s="101"/>
      <c r="HG12" s="99"/>
      <c r="HH12" s="100"/>
      <c r="HI12" s="101"/>
      <c r="HJ12" s="99"/>
      <c r="HK12" s="102"/>
      <c r="HL12" s="98"/>
      <c r="HM12" s="99"/>
      <c r="HN12" s="100"/>
      <c r="HO12" s="101"/>
      <c r="HP12" s="99"/>
      <c r="HQ12" s="100"/>
      <c r="HR12" s="101"/>
      <c r="HS12" s="99"/>
      <c r="HT12" s="100"/>
      <c r="HU12" s="101"/>
      <c r="HV12" s="99"/>
      <c r="HW12" s="102"/>
    </row>
    <row r="13" spans="1:231" ht="19.5" customHeight="1" x14ac:dyDescent="0.25">
      <c r="B13" s="115" t="str">
        <f>Donnees!$C$25</f>
        <v>Menu-Highscores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  <c r="GN13" s="93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7"/>
      <c r="GZ13" s="93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7"/>
    </row>
    <row r="14" spans="1:231" ht="19.5" customHeight="1" thickBot="1" x14ac:dyDescent="0.3">
      <c r="B14" s="116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  <c r="GN14" s="98"/>
      <c r="GO14" s="99"/>
      <c r="GP14" s="100"/>
      <c r="GQ14" s="101"/>
      <c r="GR14" s="99"/>
      <c r="GS14" s="100"/>
      <c r="GT14" s="101"/>
      <c r="GU14" s="99"/>
      <c r="GV14" s="100"/>
      <c r="GW14" s="101"/>
      <c r="GX14" s="99"/>
      <c r="GY14" s="102"/>
      <c r="GZ14" s="98"/>
      <c r="HA14" s="99"/>
      <c r="HB14" s="100"/>
      <c r="HC14" s="101"/>
      <c r="HD14" s="99"/>
      <c r="HE14" s="100"/>
      <c r="HF14" s="101"/>
      <c r="HG14" s="99"/>
      <c r="HH14" s="100"/>
      <c r="HI14" s="101"/>
      <c r="HJ14" s="99"/>
      <c r="HK14" s="102"/>
      <c r="HL14" s="98"/>
      <c r="HM14" s="99"/>
      <c r="HN14" s="100"/>
      <c r="HO14" s="101"/>
      <c r="HP14" s="99"/>
      <c r="HQ14" s="100"/>
      <c r="HR14" s="101"/>
      <c r="HS14" s="99"/>
      <c r="HT14" s="100"/>
      <c r="HU14" s="101"/>
      <c r="HV14" s="99"/>
      <c r="HW14" s="102"/>
    </row>
    <row r="15" spans="1:231" ht="19.5" customHeight="1" x14ac:dyDescent="0.25">
      <c r="B15" s="115" t="str">
        <f>Donnees!$C$26</f>
        <v>Vaisseau-Mouvements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  <c r="GN15" s="93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7"/>
      <c r="GZ15" s="93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7"/>
    </row>
    <row r="16" spans="1:231" ht="19.5" customHeight="1" thickBot="1" x14ac:dyDescent="0.3">
      <c r="A16" s="105"/>
      <c r="B16" s="116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  <c r="GN16" s="98"/>
      <c r="GO16" s="99"/>
      <c r="GP16" s="100"/>
      <c r="GQ16" s="101"/>
      <c r="GR16" s="99"/>
      <c r="GS16" s="100"/>
      <c r="GT16" s="101"/>
      <c r="GU16" s="99"/>
      <c r="GV16" s="100"/>
      <c r="GW16" s="101"/>
      <c r="GX16" s="99"/>
      <c r="GY16" s="102"/>
      <c r="GZ16" s="98"/>
      <c r="HA16" s="99"/>
      <c r="HB16" s="100"/>
      <c r="HC16" s="101"/>
      <c r="HD16" s="99"/>
      <c r="HE16" s="100"/>
      <c r="HF16" s="101"/>
      <c r="HG16" s="99"/>
      <c r="HH16" s="100"/>
      <c r="HI16" s="101"/>
      <c r="HJ16" s="99"/>
      <c r="HK16" s="102"/>
      <c r="HL16" s="98"/>
      <c r="HM16" s="99"/>
      <c r="HN16" s="100"/>
      <c r="HO16" s="101"/>
      <c r="HP16" s="99"/>
      <c r="HQ16" s="100"/>
      <c r="HR16" s="101"/>
      <c r="HS16" s="99"/>
      <c r="HT16" s="100"/>
      <c r="HU16" s="101"/>
      <c r="HV16" s="99"/>
      <c r="HW16" s="102"/>
    </row>
    <row r="17" spans="2:231" ht="19.5" customHeight="1" x14ac:dyDescent="0.25">
      <c r="B17" s="115" t="str">
        <f>Donnees!$C$27</f>
        <v>Vaisseau-Design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  <c r="GN17" s="93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7"/>
      <c r="GZ17" s="93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7"/>
    </row>
    <row r="18" spans="2:231" ht="19.5" customHeight="1" thickBot="1" x14ac:dyDescent="0.3">
      <c r="B18" s="116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  <c r="GN18" s="98"/>
      <c r="GO18" s="99"/>
      <c r="GP18" s="100"/>
      <c r="GQ18" s="101"/>
      <c r="GR18" s="99"/>
      <c r="GS18" s="100"/>
      <c r="GT18" s="101"/>
      <c r="GU18" s="99"/>
      <c r="GV18" s="100"/>
      <c r="GW18" s="101"/>
      <c r="GX18" s="99"/>
      <c r="GY18" s="102"/>
      <c r="GZ18" s="98"/>
      <c r="HA18" s="99"/>
      <c r="HB18" s="100"/>
      <c r="HC18" s="101"/>
      <c r="HD18" s="99"/>
      <c r="HE18" s="100"/>
      <c r="HF18" s="101"/>
      <c r="HG18" s="99"/>
      <c r="HH18" s="100"/>
      <c r="HI18" s="101"/>
      <c r="HJ18" s="99"/>
      <c r="HK18" s="102"/>
      <c r="HL18" s="98"/>
      <c r="HM18" s="99"/>
      <c r="HN18" s="100"/>
      <c r="HO18" s="101"/>
      <c r="HP18" s="99"/>
      <c r="HQ18" s="100"/>
      <c r="HR18" s="101"/>
      <c r="HS18" s="99"/>
      <c r="HT18" s="100"/>
      <c r="HU18" s="101"/>
      <c r="HV18" s="99"/>
      <c r="HW18" s="102"/>
    </row>
    <row r="19" spans="2:231" ht="19.5" customHeight="1" x14ac:dyDescent="0.25">
      <c r="B19" s="115" t="str">
        <f>Donnees!$C$28</f>
        <v>Vaisseau-Vies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  <c r="GN19" s="93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7"/>
      <c r="GZ19" s="93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7"/>
    </row>
    <row r="20" spans="2:231" ht="19.5" customHeight="1" thickBot="1" x14ac:dyDescent="0.3">
      <c r="B20" s="116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  <c r="GN20" s="98"/>
      <c r="GO20" s="99"/>
      <c r="GP20" s="100"/>
      <c r="GQ20" s="101"/>
      <c r="GR20" s="99"/>
      <c r="GS20" s="100"/>
      <c r="GT20" s="101"/>
      <c r="GU20" s="99"/>
      <c r="GV20" s="100"/>
      <c r="GW20" s="101"/>
      <c r="GX20" s="99"/>
      <c r="GY20" s="102"/>
      <c r="GZ20" s="98"/>
      <c r="HA20" s="99"/>
      <c r="HB20" s="100"/>
      <c r="HC20" s="101"/>
      <c r="HD20" s="99"/>
      <c r="HE20" s="100"/>
      <c r="HF20" s="101"/>
      <c r="HG20" s="99"/>
      <c r="HH20" s="100"/>
      <c r="HI20" s="101"/>
      <c r="HJ20" s="99"/>
      <c r="HK20" s="102"/>
      <c r="HL20" s="98"/>
      <c r="HM20" s="99"/>
      <c r="HN20" s="100"/>
      <c r="HO20" s="101"/>
      <c r="HP20" s="99"/>
      <c r="HQ20" s="100"/>
      <c r="HR20" s="101"/>
      <c r="HS20" s="99"/>
      <c r="HT20" s="100"/>
      <c r="HU20" s="101"/>
      <c r="HV20" s="99"/>
      <c r="HW20" s="102"/>
    </row>
    <row r="21" spans="2:231" ht="19.5" customHeight="1" x14ac:dyDescent="0.25">
      <c r="B21" s="115" t="str">
        <f>Donnees!$C$29</f>
        <v>Vaisseau-Tir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  <c r="GN21" s="93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7"/>
      <c r="GZ21" s="93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7"/>
    </row>
    <row r="22" spans="2:231" ht="19.5" customHeight="1" thickBot="1" x14ac:dyDescent="0.3">
      <c r="B22" s="116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  <c r="GN22" s="98"/>
      <c r="GO22" s="99"/>
      <c r="GP22" s="100"/>
      <c r="GQ22" s="101"/>
      <c r="GR22" s="99"/>
      <c r="GS22" s="100"/>
      <c r="GT22" s="101"/>
      <c r="GU22" s="99"/>
      <c r="GV22" s="100"/>
      <c r="GW22" s="101"/>
      <c r="GX22" s="99"/>
      <c r="GY22" s="102"/>
      <c r="GZ22" s="98"/>
      <c r="HA22" s="99"/>
      <c r="HB22" s="100"/>
      <c r="HC22" s="101"/>
      <c r="HD22" s="99"/>
      <c r="HE22" s="100"/>
      <c r="HF22" s="101"/>
      <c r="HG22" s="99"/>
      <c r="HH22" s="100"/>
      <c r="HI22" s="101"/>
      <c r="HJ22" s="99"/>
      <c r="HK22" s="102"/>
      <c r="HL22" s="98"/>
      <c r="HM22" s="99"/>
      <c r="HN22" s="100"/>
      <c r="HO22" s="101"/>
      <c r="HP22" s="99"/>
      <c r="HQ22" s="100"/>
      <c r="HR22" s="101"/>
      <c r="HS22" s="99"/>
      <c r="HT22" s="100"/>
      <c r="HU22" s="101"/>
      <c r="HV22" s="99"/>
      <c r="HW22" s="102"/>
    </row>
    <row r="23" spans="2:231" ht="19.5" customHeight="1" x14ac:dyDescent="0.25">
      <c r="B23" s="115" t="str">
        <f>Donnees!$C$30</f>
        <v>Ennemi-Mouvement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  <c r="GN23" s="93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7"/>
      <c r="GZ23" s="93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7"/>
    </row>
    <row r="24" spans="2:231" ht="19.5" customHeight="1" thickBot="1" x14ac:dyDescent="0.3">
      <c r="B24" s="116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  <c r="GN24" s="98"/>
      <c r="GO24" s="99"/>
      <c r="GP24" s="100"/>
      <c r="GQ24" s="101"/>
      <c r="GR24" s="99"/>
      <c r="GS24" s="100"/>
      <c r="GT24" s="101"/>
      <c r="GU24" s="99"/>
      <c r="GV24" s="100"/>
      <c r="GW24" s="101"/>
      <c r="GX24" s="99"/>
      <c r="GY24" s="102"/>
      <c r="GZ24" s="98"/>
      <c r="HA24" s="99"/>
      <c r="HB24" s="100"/>
      <c r="HC24" s="101"/>
      <c r="HD24" s="99"/>
      <c r="HE24" s="100"/>
      <c r="HF24" s="101"/>
      <c r="HG24" s="99"/>
      <c r="HH24" s="100"/>
      <c r="HI24" s="101"/>
      <c r="HJ24" s="99"/>
      <c r="HK24" s="102"/>
      <c r="HL24" s="98"/>
      <c r="HM24" s="99"/>
      <c r="HN24" s="100"/>
      <c r="HO24" s="101"/>
      <c r="HP24" s="99"/>
      <c r="HQ24" s="100"/>
      <c r="HR24" s="101"/>
      <c r="HS24" s="99"/>
      <c r="HT24" s="100"/>
      <c r="HU24" s="101"/>
      <c r="HV24" s="99"/>
      <c r="HW24" s="102"/>
    </row>
    <row r="25" spans="2:231" ht="19.5" customHeight="1" x14ac:dyDescent="0.25">
      <c r="B25" s="115" t="str">
        <f>Donnees!$C$31</f>
        <v>Ennemi-Tir</v>
      </c>
      <c r="C25" s="103">
        <v>0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93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  <c r="GN25" s="93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7"/>
      <c r="GZ25" s="93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7"/>
    </row>
    <row r="26" spans="2:231" ht="19.5" customHeight="1" thickBot="1" x14ac:dyDescent="0.3">
      <c r="B26" s="116"/>
      <c r="C26" s="104">
        <v>0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98"/>
      <c r="CK26" s="99"/>
      <c r="CL26" s="100"/>
      <c r="CM26" s="101"/>
      <c r="CN26" s="99"/>
      <c r="CO26" s="100"/>
      <c r="CP26" s="101"/>
      <c r="CQ26" s="99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01"/>
      <c r="DL26" s="99"/>
      <c r="DM26" s="100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  <c r="GN26" s="98"/>
      <c r="GO26" s="99"/>
      <c r="GP26" s="100"/>
      <c r="GQ26" s="101"/>
      <c r="GR26" s="99"/>
      <c r="GS26" s="100"/>
      <c r="GT26" s="101"/>
      <c r="GU26" s="99"/>
      <c r="GV26" s="100"/>
      <c r="GW26" s="101"/>
      <c r="GX26" s="99"/>
      <c r="GY26" s="102"/>
      <c r="GZ26" s="98"/>
      <c r="HA26" s="99"/>
      <c r="HB26" s="100"/>
      <c r="HC26" s="101"/>
      <c r="HD26" s="99"/>
      <c r="HE26" s="100"/>
      <c r="HF26" s="101"/>
      <c r="HG26" s="99"/>
      <c r="HH26" s="100"/>
      <c r="HI26" s="101"/>
      <c r="HJ26" s="99"/>
      <c r="HK26" s="102"/>
      <c r="HL26" s="98"/>
      <c r="HM26" s="99"/>
      <c r="HN26" s="100"/>
      <c r="HO26" s="101"/>
      <c r="HP26" s="99"/>
      <c r="HQ26" s="100"/>
      <c r="HR26" s="101"/>
      <c r="HS26" s="99"/>
      <c r="HT26" s="100"/>
      <c r="HU26" s="101"/>
      <c r="HV26" s="99"/>
      <c r="HW26" s="102"/>
    </row>
    <row r="27" spans="2:231" ht="19.5" customHeight="1" x14ac:dyDescent="0.25">
      <c r="B27" s="115" t="str">
        <f>Donnees!$C$32</f>
        <v>Ennemi-Destruction</v>
      </c>
      <c r="C27" s="103">
        <v>0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7"/>
      <c r="BX27" s="93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  <c r="GN27" s="93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7"/>
      <c r="GZ27" s="93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7"/>
    </row>
    <row r="28" spans="2:231" ht="19.5" customHeight="1" thickBot="1" x14ac:dyDescent="0.3">
      <c r="B28" s="116"/>
      <c r="C28" s="104">
        <v>0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99"/>
      <c r="BW28" s="102"/>
      <c r="BX28" s="98"/>
      <c r="BY28" s="99"/>
      <c r="BZ28" s="100"/>
      <c r="CA28" s="101"/>
      <c r="CB28" s="99"/>
      <c r="CC28" s="100"/>
      <c r="CD28" s="101"/>
      <c r="CE28" s="99"/>
      <c r="CF28" s="100"/>
      <c r="CG28" s="101"/>
      <c r="CH28" s="99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  <c r="GN28" s="98"/>
      <c r="GO28" s="99"/>
      <c r="GP28" s="100"/>
      <c r="GQ28" s="101"/>
      <c r="GR28" s="99"/>
      <c r="GS28" s="100"/>
      <c r="GT28" s="101"/>
      <c r="GU28" s="99"/>
      <c r="GV28" s="100"/>
      <c r="GW28" s="101"/>
      <c r="GX28" s="99"/>
      <c r="GY28" s="102"/>
      <c r="GZ28" s="98"/>
      <c r="HA28" s="99"/>
      <c r="HB28" s="100"/>
      <c r="HC28" s="101"/>
      <c r="HD28" s="99"/>
      <c r="HE28" s="100"/>
      <c r="HF28" s="101"/>
      <c r="HG28" s="99"/>
      <c r="HH28" s="100"/>
      <c r="HI28" s="101"/>
      <c r="HJ28" s="99"/>
      <c r="HK28" s="102"/>
      <c r="HL28" s="98"/>
      <c r="HM28" s="99"/>
      <c r="HN28" s="100"/>
      <c r="HO28" s="101"/>
      <c r="HP28" s="99"/>
      <c r="HQ28" s="100"/>
      <c r="HR28" s="101"/>
      <c r="HS28" s="99"/>
      <c r="HT28" s="100"/>
      <c r="HU28" s="101"/>
      <c r="HV28" s="99"/>
      <c r="HW28" s="102"/>
    </row>
    <row r="29" spans="2:231" ht="19.5" customHeight="1" x14ac:dyDescent="0.25">
      <c r="B29" s="115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  <c r="GN29" s="93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7"/>
      <c r="GZ29" s="93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7"/>
    </row>
    <row r="30" spans="2:231" ht="19.5" customHeight="1" thickBot="1" x14ac:dyDescent="0.3">
      <c r="B30" s="116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  <c r="GN30" s="98"/>
      <c r="GO30" s="99"/>
      <c r="GP30" s="100"/>
      <c r="GQ30" s="101"/>
      <c r="GR30" s="99"/>
      <c r="GS30" s="100"/>
      <c r="GT30" s="101"/>
      <c r="GU30" s="99"/>
      <c r="GV30" s="100"/>
      <c r="GW30" s="101"/>
      <c r="GX30" s="99"/>
      <c r="GY30" s="102"/>
      <c r="GZ30" s="98"/>
      <c r="HA30" s="99"/>
      <c r="HB30" s="100"/>
      <c r="HC30" s="101"/>
      <c r="HD30" s="99"/>
      <c r="HE30" s="100"/>
      <c r="HF30" s="101"/>
      <c r="HG30" s="99"/>
      <c r="HH30" s="100"/>
      <c r="HI30" s="101"/>
      <c r="HJ30" s="99"/>
      <c r="HK30" s="102"/>
      <c r="HL30" s="98"/>
      <c r="HM30" s="99"/>
      <c r="HN30" s="100"/>
      <c r="HO30" s="101"/>
      <c r="HP30" s="99"/>
      <c r="HQ30" s="100"/>
      <c r="HR30" s="101"/>
      <c r="HS30" s="99"/>
      <c r="HT30" s="100"/>
      <c r="HU30" s="101"/>
      <c r="HV30" s="99"/>
      <c r="HW30" s="102"/>
    </row>
    <row r="31" spans="2:231" ht="19.5" customHeight="1" x14ac:dyDescent="0.25">
      <c r="B31" s="115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  <c r="GN31" s="93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7"/>
      <c r="GZ31" s="93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7"/>
    </row>
    <row r="32" spans="2:231" ht="19.5" customHeight="1" thickBot="1" x14ac:dyDescent="0.3">
      <c r="B32" s="116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  <c r="GN32" s="98"/>
      <c r="GO32" s="99"/>
      <c r="GP32" s="100"/>
      <c r="GQ32" s="101"/>
      <c r="GR32" s="99"/>
      <c r="GS32" s="100"/>
      <c r="GT32" s="101"/>
      <c r="GU32" s="99"/>
      <c r="GV32" s="100"/>
      <c r="GW32" s="101"/>
      <c r="GX32" s="99"/>
      <c r="GY32" s="102"/>
      <c r="GZ32" s="98"/>
      <c r="HA32" s="99"/>
      <c r="HB32" s="100"/>
      <c r="HC32" s="101"/>
      <c r="HD32" s="99"/>
      <c r="HE32" s="100"/>
      <c r="HF32" s="101"/>
      <c r="HG32" s="99"/>
      <c r="HH32" s="100"/>
      <c r="HI32" s="101"/>
      <c r="HJ32" s="99"/>
      <c r="HK32" s="102"/>
      <c r="HL32" s="98"/>
      <c r="HM32" s="99"/>
      <c r="HN32" s="100"/>
      <c r="HO32" s="101"/>
      <c r="HP32" s="99"/>
      <c r="HQ32" s="100"/>
      <c r="HR32" s="101"/>
      <c r="HS32" s="99"/>
      <c r="HT32" s="100"/>
      <c r="HU32" s="101"/>
      <c r="HV32" s="99"/>
      <c r="HW32" s="102"/>
    </row>
    <row r="33" spans="2:231" ht="19.5" customHeight="1" x14ac:dyDescent="0.25">
      <c r="B33" s="115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  <c r="GN33" s="93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7"/>
      <c r="GZ33" s="93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7"/>
    </row>
    <row r="34" spans="2:231" ht="19.5" customHeight="1" thickBot="1" x14ac:dyDescent="0.3">
      <c r="B34" s="116"/>
      <c r="C34" s="104">
        <v>0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  <c r="GN34" s="98"/>
      <c r="GO34" s="99"/>
      <c r="GP34" s="100"/>
      <c r="GQ34" s="101"/>
      <c r="GR34" s="99"/>
      <c r="GS34" s="100"/>
      <c r="GT34" s="101"/>
      <c r="GU34" s="99"/>
      <c r="GV34" s="100"/>
      <c r="GW34" s="101"/>
      <c r="GX34" s="99"/>
      <c r="GY34" s="102"/>
      <c r="GZ34" s="98"/>
      <c r="HA34" s="99"/>
      <c r="HB34" s="100"/>
      <c r="HC34" s="101"/>
      <c r="HD34" s="99"/>
      <c r="HE34" s="100"/>
      <c r="HF34" s="101"/>
      <c r="HG34" s="99"/>
      <c r="HH34" s="100"/>
      <c r="HI34" s="101"/>
      <c r="HJ34" s="99"/>
      <c r="HK34" s="102"/>
      <c r="HL34" s="98"/>
      <c r="HM34" s="99"/>
      <c r="HN34" s="100"/>
      <c r="HO34" s="101"/>
      <c r="HP34" s="99"/>
      <c r="HQ34" s="100"/>
      <c r="HR34" s="101"/>
      <c r="HS34" s="99"/>
      <c r="HT34" s="100"/>
      <c r="HU34" s="101"/>
      <c r="HV34" s="99"/>
      <c r="HW34" s="102"/>
    </row>
    <row r="35" spans="2:231" ht="19.5" customHeight="1" x14ac:dyDescent="0.25">
      <c r="B35" s="115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  <c r="GN35" s="93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7"/>
      <c r="GZ35" s="93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7"/>
    </row>
    <row r="36" spans="2:231" ht="19.5" customHeight="1" thickBot="1" x14ac:dyDescent="0.3">
      <c r="B36" s="116"/>
      <c r="C36" s="104">
        <v>0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  <c r="GN36" s="98"/>
      <c r="GO36" s="99"/>
      <c r="GP36" s="100"/>
      <c r="GQ36" s="101"/>
      <c r="GR36" s="99"/>
      <c r="GS36" s="100"/>
      <c r="GT36" s="101"/>
      <c r="GU36" s="99"/>
      <c r="GV36" s="100"/>
      <c r="GW36" s="101"/>
      <c r="GX36" s="99"/>
      <c r="GY36" s="102"/>
      <c r="GZ36" s="98"/>
      <c r="HA36" s="99"/>
      <c r="HB36" s="100"/>
      <c r="HC36" s="101"/>
      <c r="HD36" s="99"/>
      <c r="HE36" s="100"/>
      <c r="HF36" s="101"/>
      <c r="HG36" s="99"/>
      <c r="HH36" s="100"/>
      <c r="HI36" s="101"/>
      <c r="HJ36" s="99"/>
      <c r="HK36" s="102"/>
      <c r="HL36" s="98"/>
      <c r="HM36" s="99"/>
      <c r="HN36" s="100"/>
      <c r="HO36" s="101"/>
      <c r="HP36" s="99"/>
      <c r="HQ36" s="100"/>
      <c r="HR36" s="101"/>
      <c r="HS36" s="99"/>
      <c r="HT36" s="100"/>
      <c r="HU36" s="101"/>
      <c r="HV36" s="99"/>
      <c r="HW36" s="102"/>
    </row>
    <row r="37" spans="2:231" ht="19.5" customHeight="1" x14ac:dyDescent="0.25">
      <c r="B37" s="115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  <c r="GN37" s="93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7"/>
      <c r="GZ37" s="93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7"/>
    </row>
    <row r="38" spans="2:231" ht="19.5" customHeight="1" thickBot="1" x14ac:dyDescent="0.3">
      <c r="B38" s="116"/>
      <c r="C38" s="104">
        <v>0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  <c r="GN38" s="98"/>
      <c r="GO38" s="99"/>
      <c r="GP38" s="100"/>
      <c r="GQ38" s="101"/>
      <c r="GR38" s="99"/>
      <c r="GS38" s="100"/>
      <c r="GT38" s="101"/>
      <c r="GU38" s="99"/>
      <c r="GV38" s="100"/>
      <c r="GW38" s="101"/>
      <c r="GX38" s="99"/>
      <c r="GY38" s="102"/>
      <c r="GZ38" s="98"/>
      <c r="HA38" s="99"/>
      <c r="HB38" s="100"/>
      <c r="HC38" s="101"/>
      <c r="HD38" s="99"/>
      <c r="HE38" s="100"/>
      <c r="HF38" s="101"/>
      <c r="HG38" s="99"/>
      <c r="HH38" s="100"/>
      <c r="HI38" s="101"/>
      <c r="HJ38" s="99"/>
      <c r="HK38" s="102"/>
      <c r="HL38" s="98"/>
      <c r="HM38" s="99"/>
      <c r="HN38" s="100"/>
      <c r="HO38" s="101"/>
      <c r="HP38" s="99"/>
      <c r="HQ38" s="100"/>
      <c r="HR38" s="101"/>
      <c r="HS38" s="99"/>
      <c r="HT38" s="100"/>
      <c r="HU38" s="101"/>
      <c r="HV38" s="99"/>
      <c r="HW38" s="102"/>
    </row>
    <row r="39" spans="2:231" ht="19.5" customHeight="1" x14ac:dyDescent="0.25">
      <c r="B39" s="115" t="str">
        <f>Donnees!$C$38</f>
        <v>Installateur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  <c r="GN39" s="93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7"/>
      <c r="GZ39" s="93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7"/>
    </row>
    <row r="40" spans="2:231" ht="19.5" customHeight="1" thickBot="1" x14ac:dyDescent="0.3">
      <c r="B40" s="116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  <c r="GN40" s="98"/>
      <c r="GO40" s="99"/>
      <c r="GP40" s="100"/>
      <c r="GQ40" s="101"/>
      <c r="GR40" s="99"/>
      <c r="GS40" s="100"/>
      <c r="GT40" s="101"/>
      <c r="GU40" s="99"/>
      <c r="GV40" s="100"/>
      <c r="GW40" s="101"/>
      <c r="GX40" s="99"/>
      <c r="GY40" s="102"/>
      <c r="GZ40" s="98"/>
      <c r="HA40" s="99"/>
      <c r="HB40" s="100"/>
      <c r="HC40" s="101"/>
      <c r="HD40" s="99"/>
      <c r="HE40" s="100"/>
      <c r="HF40" s="101"/>
      <c r="HG40" s="99"/>
      <c r="HH40" s="100"/>
      <c r="HI40" s="101"/>
      <c r="HJ40" s="99"/>
      <c r="HK40" s="102"/>
      <c r="HL40" s="98"/>
      <c r="HM40" s="99"/>
      <c r="HN40" s="100"/>
      <c r="HO40" s="101"/>
      <c r="HP40" s="99"/>
      <c r="HQ40" s="100"/>
      <c r="HR40" s="101"/>
      <c r="HS40" s="99"/>
      <c r="HT40" s="100"/>
      <c r="HU40" s="101"/>
      <c r="HV40" s="99"/>
      <c r="HW40" s="102"/>
    </row>
    <row r="41" spans="2:231" ht="19.5" customHeight="1" x14ac:dyDescent="0.25">
      <c r="B41" s="115" t="str">
        <f>Donnees!$C$39</f>
        <v>Béta tests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  <c r="GN41" s="93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7"/>
      <c r="GZ41" s="93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7"/>
    </row>
    <row r="42" spans="2:231" ht="19.5" customHeight="1" thickBot="1" x14ac:dyDescent="0.3">
      <c r="B42" s="116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  <c r="GN42" s="98"/>
      <c r="GO42" s="99"/>
      <c r="GP42" s="100"/>
      <c r="GQ42" s="101"/>
      <c r="GR42" s="99"/>
      <c r="GS42" s="100"/>
      <c r="GT42" s="101"/>
      <c r="GU42" s="99"/>
      <c r="GV42" s="100"/>
      <c r="GW42" s="101"/>
      <c r="GX42" s="99"/>
      <c r="GY42" s="102"/>
      <c r="GZ42" s="98"/>
      <c r="HA42" s="99"/>
      <c r="HB42" s="100"/>
      <c r="HC42" s="101"/>
      <c r="HD42" s="99"/>
      <c r="HE42" s="100"/>
      <c r="HF42" s="101"/>
      <c r="HG42" s="99"/>
      <c r="HH42" s="100"/>
      <c r="HI42" s="101"/>
      <c r="HJ42" s="99"/>
      <c r="HK42" s="102"/>
      <c r="HL42" s="98"/>
      <c r="HM42" s="99"/>
      <c r="HN42" s="100"/>
      <c r="HO42" s="101"/>
      <c r="HP42" s="99"/>
      <c r="HQ42" s="100"/>
      <c r="HR42" s="101"/>
      <c r="HS42" s="99"/>
      <c r="HT42" s="100"/>
      <c r="HU42" s="101"/>
      <c r="HV42" s="99"/>
      <c r="HW42" s="102"/>
    </row>
    <row r="43" spans="2:231" ht="19.5" customHeight="1" x14ac:dyDescent="0.25">
      <c r="B43" s="115" t="str">
        <f>Donnees!$C$40</f>
        <v>Documentation-UML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  <c r="GN43" s="93"/>
      <c r="GO43" s="94"/>
      <c r="GP43" s="95"/>
      <c r="GQ43" s="96"/>
      <c r="GR43" s="94"/>
      <c r="GS43" s="95"/>
      <c r="GT43" s="96"/>
      <c r="GU43" s="94"/>
      <c r="GV43" s="95"/>
      <c r="GW43" s="96"/>
      <c r="GX43" s="94"/>
      <c r="GY43" s="97"/>
      <c r="GZ43" s="93"/>
      <c r="HA43" s="94"/>
      <c r="HB43" s="95"/>
      <c r="HC43" s="96"/>
      <c r="HD43" s="94"/>
      <c r="HE43" s="95"/>
      <c r="HF43" s="96"/>
      <c r="HG43" s="94"/>
      <c r="HH43" s="95"/>
      <c r="HI43" s="96"/>
      <c r="HJ43" s="94"/>
      <c r="HK43" s="97"/>
      <c r="HL43" s="93"/>
      <c r="HM43" s="94"/>
      <c r="HN43" s="95"/>
      <c r="HO43" s="96"/>
      <c r="HP43" s="94"/>
      <c r="HQ43" s="95"/>
      <c r="HR43" s="96"/>
      <c r="HS43" s="94"/>
      <c r="HT43" s="95"/>
      <c r="HU43" s="96"/>
      <c r="HV43" s="94"/>
      <c r="HW43" s="97"/>
    </row>
    <row r="44" spans="2:231" ht="19.5" customHeight="1" thickBot="1" x14ac:dyDescent="0.3">
      <c r="B44" s="116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  <c r="GN44" s="98"/>
      <c r="GO44" s="99"/>
      <c r="GP44" s="100"/>
      <c r="GQ44" s="101"/>
      <c r="GR44" s="99"/>
      <c r="GS44" s="100"/>
      <c r="GT44" s="101"/>
      <c r="GU44" s="99"/>
      <c r="GV44" s="100"/>
      <c r="GW44" s="101"/>
      <c r="GX44" s="99"/>
      <c r="GY44" s="102"/>
      <c r="GZ44" s="98"/>
      <c r="HA44" s="99"/>
      <c r="HB44" s="100"/>
      <c r="HC44" s="101"/>
      <c r="HD44" s="99"/>
      <c r="HE44" s="100"/>
      <c r="HF44" s="101"/>
      <c r="HG44" s="99"/>
      <c r="HH44" s="100"/>
      <c r="HI44" s="101"/>
      <c r="HJ44" s="99"/>
      <c r="HK44" s="102"/>
      <c r="HL44" s="98"/>
      <c r="HM44" s="99"/>
      <c r="HN44" s="100"/>
      <c r="HO44" s="101"/>
      <c r="HP44" s="99"/>
      <c r="HQ44" s="100"/>
      <c r="HR44" s="101"/>
      <c r="HS44" s="99"/>
      <c r="HT44" s="100"/>
      <c r="HU44" s="101"/>
      <c r="HV44" s="99"/>
      <c r="HW44" s="102"/>
    </row>
    <row r="45" spans="2:231" ht="19.5" customHeight="1" x14ac:dyDescent="0.25">
      <c r="B45" s="115" t="str">
        <f>Donnees!$C$41</f>
        <v>Documentation-Tests</v>
      </c>
      <c r="C45" s="103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  <c r="GN45" s="93"/>
      <c r="GO45" s="94"/>
      <c r="GP45" s="95"/>
      <c r="GQ45" s="96"/>
      <c r="GR45" s="94"/>
      <c r="GS45" s="95"/>
      <c r="GT45" s="96"/>
      <c r="GU45" s="94"/>
      <c r="GV45" s="95"/>
      <c r="GW45" s="96"/>
      <c r="GX45" s="94"/>
      <c r="GY45" s="97"/>
      <c r="GZ45" s="93"/>
      <c r="HA45" s="94"/>
      <c r="HB45" s="95"/>
      <c r="HC45" s="96"/>
      <c r="HD45" s="94"/>
      <c r="HE45" s="95"/>
      <c r="HF45" s="96"/>
      <c r="HG45" s="94"/>
      <c r="HH45" s="95"/>
      <c r="HI45" s="96"/>
      <c r="HJ45" s="94"/>
      <c r="HK45" s="97"/>
      <c r="HL45" s="93"/>
      <c r="HM45" s="94"/>
      <c r="HN45" s="95"/>
      <c r="HO45" s="96"/>
      <c r="HP45" s="94"/>
      <c r="HQ45" s="95"/>
      <c r="HR45" s="96"/>
      <c r="HS45" s="94"/>
      <c r="HT45" s="95"/>
      <c r="HU45" s="96"/>
      <c r="HV45" s="94"/>
      <c r="HW45" s="97"/>
    </row>
    <row r="46" spans="2:231" ht="19.5" customHeight="1" thickBot="1" x14ac:dyDescent="0.3">
      <c r="B46" s="116"/>
      <c r="C46" s="104">
        <v>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  <c r="GN46" s="98"/>
      <c r="GO46" s="99"/>
      <c r="GP46" s="100"/>
      <c r="GQ46" s="101"/>
      <c r="GR46" s="99"/>
      <c r="GS46" s="100"/>
      <c r="GT46" s="101"/>
      <c r="GU46" s="99"/>
      <c r="GV46" s="100"/>
      <c r="GW46" s="101"/>
      <c r="GX46" s="99"/>
      <c r="GY46" s="102"/>
      <c r="GZ46" s="98"/>
      <c r="HA46" s="99"/>
      <c r="HB46" s="100"/>
      <c r="HC46" s="101"/>
      <c r="HD46" s="99"/>
      <c r="HE46" s="100"/>
      <c r="HF46" s="101"/>
      <c r="HG46" s="99"/>
      <c r="HH46" s="100"/>
      <c r="HI46" s="101"/>
      <c r="HJ46" s="99"/>
      <c r="HK46" s="102"/>
      <c r="HL46" s="98"/>
      <c r="HM46" s="99"/>
      <c r="HN46" s="100"/>
      <c r="HO46" s="101"/>
      <c r="HP46" s="99"/>
      <c r="HQ46" s="100"/>
      <c r="HR46" s="101"/>
      <c r="HS46" s="99"/>
      <c r="HT46" s="100"/>
      <c r="HU46" s="101"/>
      <c r="HV46" s="99"/>
      <c r="HW46" s="102"/>
    </row>
    <row r="47" spans="2:231" ht="19.5" customHeight="1" x14ac:dyDescent="0.25">
      <c r="B47" s="115" t="str">
        <f>Donnees!$C$42</f>
        <v>Documentation-Code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  <c r="GN47" s="93"/>
      <c r="GO47" s="94"/>
      <c r="GP47" s="95"/>
      <c r="GQ47" s="96"/>
      <c r="GR47" s="94"/>
      <c r="GS47" s="95"/>
      <c r="GT47" s="96"/>
      <c r="GU47" s="94"/>
      <c r="GV47" s="95"/>
      <c r="GW47" s="96"/>
      <c r="GX47" s="94"/>
      <c r="GY47" s="97"/>
      <c r="GZ47" s="93"/>
      <c r="HA47" s="94"/>
      <c r="HB47" s="95"/>
      <c r="HC47" s="96"/>
      <c r="HD47" s="94"/>
      <c r="HE47" s="95"/>
      <c r="HF47" s="96"/>
      <c r="HG47" s="94"/>
      <c r="HH47" s="95"/>
      <c r="HI47" s="96"/>
      <c r="HJ47" s="94"/>
      <c r="HK47" s="97"/>
      <c r="HL47" s="93"/>
      <c r="HM47" s="94"/>
      <c r="HN47" s="95"/>
      <c r="HO47" s="96"/>
      <c r="HP47" s="94"/>
      <c r="HQ47" s="95"/>
      <c r="HR47" s="96"/>
      <c r="HS47" s="94"/>
      <c r="HT47" s="95"/>
      <c r="HU47" s="96"/>
      <c r="HV47" s="94"/>
      <c r="HW47" s="97"/>
    </row>
    <row r="48" spans="2:231" ht="19.5" customHeight="1" thickBot="1" x14ac:dyDescent="0.3">
      <c r="B48" s="116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  <c r="GN48" s="98"/>
      <c r="GO48" s="99"/>
      <c r="GP48" s="100"/>
      <c r="GQ48" s="101"/>
      <c r="GR48" s="99"/>
      <c r="GS48" s="100"/>
      <c r="GT48" s="101"/>
      <c r="GU48" s="99"/>
      <c r="GV48" s="100"/>
      <c r="GW48" s="101"/>
      <c r="GX48" s="99"/>
      <c r="GY48" s="102"/>
      <c r="GZ48" s="98"/>
      <c r="HA48" s="99"/>
      <c r="HB48" s="100"/>
      <c r="HC48" s="101"/>
      <c r="HD48" s="99"/>
      <c r="HE48" s="100"/>
      <c r="HF48" s="101"/>
      <c r="HG48" s="99"/>
      <c r="HH48" s="100"/>
      <c r="HI48" s="101"/>
      <c r="HJ48" s="99"/>
      <c r="HK48" s="102"/>
      <c r="HL48" s="98"/>
      <c r="HM48" s="99"/>
      <c r="HN48" s="100"/>
      <c r="HO48" s="101"/>
      <c r="HP48" s="99"/>
      <c r="HQ48" s="100"/>
      <c r="HR48" s="101"/>
      <c r="HS48" s="99"/>
      <c r="HT48" s="100"/>
      <c r="HU48" s="101"/>
      <c r="HV48" s="99"/>
      <c r="HW48" s="102"/>
    </row>
    <row r="49" spans="2:231" ht="19.5" customHeight="1" x14ac:dyDescent="0.25">
      <c r="B49" s="115" t="str">
        <f>Donnees!$C$43</f>
        <v>Documentation-ModeEmploi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  <c r="GN49" s="93"/>
      <c r="GO49" s="94"/>
      <c r="GP49" s="95"/>
      <c r="GQ49" s="96"/>
      <c r="GR49" s="94"/>
      <c r="GS49" s="95"/>
      <c r="GT49" s="96"/>
      <c r="GU49" s="94"/>
      <c r="GV49" s="95"/>
      <c r="GW49" s="96"/>
      <c r="GX49" s="94"/>
      <c r="GY49" s="97"/>
      <c r="GZ49" s="93"/>
      <c r="HA49" s="94"/>
      <c r="HB49" s="95"/>
      <c r="HC49" s="96"/>
      <c r="HD49" s="94"/>
      <c r="HE49" s="95"/>
      <c r="HF49" s="96"/>
      <c r="HG49" s="94"/>
      <c r="HH49" s="95"/>
      <c r="HI49" s="96"/>
      <c r="HJ49" s="94"/>
      <c r="HK49" s="97"/>
      <c r="HL49" s="93"/>
      <c r="HM49" s="94"/>
      <c r="HN49" s="95"/>
      <c r="HO49" s="96"/>
      <c r="HP49" s="94"/>
      <c r="HQ49" s="95"/>
      <c r="HR49" s="96"/>
      <c r="HS49" s="94"/>
      <c r="HT49" s="95"/>
      <c r="HU49" s="96"/>
      <c r="HV49" s="94"/>
      <c r="HW49" s="97"/>
    </row>
    <row r="50" spans="2:231" ht="19.5" customHeight="1" thickBot="1" x14ac:dyDescent="0.3">
      <c r="B50" s="116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  <c r="GN50" s="98"/>
      <c r="GO50" s="99"/>
      <c r="GP50" s="100"/>
      <c r="GQ50" s="101"/>
      <c r="GR50" s="99"/>
      <c r="GS50" s="100"/>
      <c r="GT50" s="101"/>
      <c r="GU50" s="99"/>
      <c r="GV50" s="100"/>
      <c r="GW50" s="101"/>
      <c r="GX50" s="99"/>
      <c r="GY50" s="102"/>
      <c r="GZ50" s="98"/>
      <c r="HA50" s="99"/>
      <c r="HB50" s="100"/>
      <c r="HC50" s="101"/>
      <c r="HD50" s="99"/>
      <c r="HE50" s="100"/>
      <c r="HF50" s="101"/>
      <c r="HG50" s="99"/>
      <c r="HH50" s="100"/>
      <c r="HI50" s="101"/>
      <c r="HJ50" s="99"/>
      <c r="HK50" s="102"/>
      <c r="HL50" s="98"/>
      <c r="HM50" s="99"/>
      <c r="HN50" s="100"/>
      <c r="HO50" s="101"/>
      <c r="HP50" s="99"/>
      <c r="HQ50" s="100"/>
      <c r="HR50" s="101"/>
      <c r="HS50" s="99"/>
      <c r="HT50" s="100"/>
      <c r="HU50" s="101"/>
      <c r="HV50" s="99"/>
      <c r="HW50" s="102"/>
    </row>
    <row r="51" spans="2:231" ht="19.5" customHeight="1" x14ac:dyDescent="0.25">
      <c r="B51" s="115" t="str">
        <f>Donnees!$C$44</f>
        <v>Tests unitaires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  <c r="GN51" s="93"/>
      <c r="GO51" s="94"/>
      <c r="GP51" s="95"/>
      <c r="GQ51" s="96"/>
      <c r="GR51" s="94"/>
      <c r="GS51" s="95"/>
      <c r="GT51" s="96"/>
      <c r="GU51" s="94"/>
      <c r="GV51" s="95"/>
      <c r="GW51" s="96"/>
      <c r="GX51" s="94"/>
      <c r="GY51" s="97"/>
      <c r="GZ51" s="93"/>
      <c r="HA51" s="94"/>
      <c r="HB51" s="95"/>
      <c r="HC51" s="96"/>
      <c r="HD51" s="94"/>
      <c r="HE51" s="95"/>
      <c r="HF51" s="96"/>
      <c r="HG51" s="94"/>
      <c r="HH51" s="95"/>
      <c r="HI51" s="96"/>
      <c r="HJ51" s="94"/>
      <c r="HK51" s="97"/>
      <c r="HL51" s="93"/>
      <c r="HM51" s="94"/>
      <c r="HN51" s="95"/>
      <c r="HO51" s="96"/>
      <c r="HP51" s="94"/>
      <c r="HQ51" s="95"/>
      <c r="HR51" s="96"/>
      <c r="HS51" s="94"/>
      <c r="HT51" s="95"/>
      <c r="HU51" s="96"/>
      <c r="HV51" s="94"/>
      <c r="HW51" s="97"/>
    </row>
    <row r="52" spans="2:231" ht="19.5" customHeight="1" x14ac:dyDescent="0.25">
      <c r="B52" s="116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  <c r="GN52" s="98"/>
      <c r="GO52" s="99"/>
      <c r="GP52" s="100"/>
      <c r="GQ52" s="101"/>
      <c r="GR52" s="99"/>
      <c r="GS52" s="100"/>
      <c r="GT52" s="101"/>
      <c r="GU52" s="99"/>
      <c r="GV52" s="100"/>
      <c r="GW52" s="101"/>
      <c r="GX52" s="99"/>
      <c r="GY52" s="102"/>
      <c r="GZ52" s="98"/>
      <c r="HA52" s="99"/>
      <c r="HB52" s="100"/>
      <c r="HC52" s="101"/>
      <c r="HD52" s="99"/>
      <c r="HE52" s="100"/>
      <c r="HF52" s="101"/>
      <c r="HG52" s="99"/>
      <c r="HH52" s="100"/>
      <c r="HI52" s="101"/>
      <c r="HJ52" s="99"/>
      <c r="HK52" s="102"/>
      <c r="HL52" s="98"/>
      <c r="HM52" s="99"/>
      <c r="HN52" s="100"/>
      <c r="HO52" s="101"/>
      <c r="HP52" s="99"/>
      <c r="HQ52" s="100"/>
      <c r="HR52" s="101"/>
      <c r="HS52" s="99"/>
      <c r="HT52" s="100"/>
      <c r="HU52" s="101"/>
      <c r="HV52" s="99"/>
      <c r="HW52" s="102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0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  <c r="GN53" s="106"/>
      <c r="GO53" s="107"/>
      <c r="GP53" s="107"/>
      <c r="GQ53" s="107"/>
      <c r="GR53" s="107"/>
      <c r="GS53" s="107"/>
      <c r="GT53" s="107"/>
      <c r="GU53" s="107"/>
      <c r="GV53" s="107"/>
      <c r="GW53" s="107"/>
      <c r="GX53" s="107"/>
      <c r="GY53" s="108"/>
      <c r="GZ53" s="106"/>
      <c r="HA53" s="107"/>
      <c r="HB53" s="107"/>
      <c r="HC53" s="107"/>
      <c r="HD53" s="107"/>
      <c r="HE53" s="107"/>
      <c r="HF53" s="107"/>
      <c r="HG53" s="107"/>
      <c r="HH53" s="107"/>
      <c r="HI53" s="107"/>
      <c r="HJ53" s="107"/>
      <c r="HK53" s="108"/>
      <c r="HL53" s="106"/>
      <c r="HM53" s="107"/>
      <c r="HN53" s="107"/>
      <c r="HO53" s="107"/>
      <c r="HP53" s="107"/>
      <c r="HQ53" s="107"/>
      <c r="HR53" s="107"/>
      <c r="HS53" s="107"/>
      <c r="HT53" s="107"/>
      <c r="HU53" s="107"/>
      <c r="HV53" s="107"/>
      <c r="HW53" s="108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0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  <c r="GN54" s="109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1"/>
      <c r="GZ54" s="109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1"/>
      <c r="HL54" s="109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1"/>
    </row>
  </sheetData>
  <sheetProtection sheet="1" objects="1" scenarios="1" insertRows="0" selectLockedCells="1"/>
  <mergeCells count="44">
    <mergeCell ref="GZ2:HK2"/>
    <mergeCell ref="HL2:HW2"/>
    <mergeCell ref="EF2:EQ2"/>
    <mergeCell ref="ER2:FC2"/>
    <mergeCell ref="FD2:FO2"/>
    <mergeCell ref="FP2:GA2"/>
    <mergeCell ref="GB2:GM2"/>
    <mergeCell ref="GN2:GY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7" t="s">
        <v>21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topLeftCell="A169" workbookViewId="0">
      <selection activeCell="B255" sqref="B25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7</v>
      </c>
      <c r="C3" s="9"/>
      <c r="D3" s="9"/>
    </row>
    <row r="4" spans="1:4" s="53" customFormat="1" x14ac:dyDescent="0.25">
      <c r="A4" s="1" t="s">
        <v>28</v>
      </c>
      <c r="B4" s="2">
        <v>5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6</v>
      </c>
      <c r="C17" s="9"/>
      <c r="D17" s="9"/>
    </row>
    <row r="18" spans="1:9" x14ac:dyDescent="0.25">
      <c r="A18" s="1" t="s">
        <v>27</v>
      </c>
      <c r="B18" s="2">
        <v>6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2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31</v>
      </c>
      <c r="B32" s="2">
        <v>6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4</v>
      </c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9"/>
      <c r="D45" s="9"/>
    </row>
    <row r="46" spans="1:9" x14ac:dyDescent="0.25">
      <c r="A46" s="1" t="s">
        <v>35</v>
      </c>
      <c r="B46" s="2">
        <v>3</v>
      </c>
      <c r="C46" s="10"/>
      <c r="D46" s="10"/>
    </row>
    <row r="47" spans="1:9" x14ac:dyDescent="0.25">
      <c r="A47" s="1" t="s">
        <v>36</v>
      </c>
      <c r="B47" s="2">
        <v>3</v>
      </c>
      <c r="C47" s="10"/>
      <c r="D47" s="10"/>
    </row>
    <row r="48" spans="1:9" ht="27" x14ac:dyDescent="0.25">
      <c r="A48" s="1" t="s">
        <v>38</v>
      </c>
      <c r="B48" s="2">
        <v>2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38</v>
      </c>
      <c r="B59" s="4">
        <v>3</v>
      </c>
      <c r="C59" s="9"/>
      <c r="D59" s="9"/>
    </row>
    <row r="60" spans="1:4" x14ac:dyDescent="0.25">
      <c r="A60" s="1" t="s">
        <v>37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21</v>
      </c>
      <c r="B87" s="4">
        <v>12</v>
      </c>
      <c r="C87" s="112" t="s">
        <v>73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48</v>
      </c>
      <c r="B101" s="4">
        <v>4</v>
      </c>
      <c r="C101" s="9"/>
      <c r="D101" s="9"/>
    </row>
    <row r="102" spans="1:4" x14ac:dyDescent="0.25">
      <c r="A102" s="1" t="s">
        <v>30</v>
      </c>
      <c r="B102" s="2">
        <v>8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30</v>
      </c>
      <c r="B115" s="4">
        <v>12</v>
      </c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47</v>
      </c>
      <c r="B129" s="4">
        <v>3</v>
      </c>
      <c r="C129" s="9"/>
      <c r="D129" s="9"/>
    </row>
    <row r="130" spans="1:4" x14ac:dyDescent="0.25">
      <c r="A130" s="1" t="s">
        <v>40</v>
      </c>
      <c r="B130" s="2">
        <v>9</v>
      </c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41</v>
      </c>
      <c r="B143" s="4">
        <v>8</v>
      </c>
      <c r="C143" s="9"/>
      <c r="D143" s="9"/>
    </row>
    <row r="144" spans="1:4" x14ac:dyDescent="0.25">
      <c r="A144" s="1" t="s">
        <v>42</v>
      </c>
      <c r="B144" s="2">
        <v>4</v>
      </c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2</v>
      </c>
      <c r="C157" s="9"/>
      <c r="D157" s="9"/>
    </row>
    <row r="158" spans="1:4" x14ac:dyDescent="0.25">
      <c r="A158" s="1" t="s">
        <v>43</v>
      </c>
      <c r="B158" s="2">
        <v>6</v>
      </c>
      <c r="C158" s="10"/>
      <c r="D158" s="10"/>
    </row>
    <row r="159" spans="1:4" x14ac:dyDescent="0.25">
      <c r="A159" s="1" t="s">
        <v>47</v>
      </c>
      <c r="B159" s="2">
        <v>4</v>
      </c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44</v>
      </c>
      <c r="B171" s="4">
        <v>8</v>
      </c>
      <c r="C171" s="9"/>
      <c r="D171" s="9"/>
    </row>
    <row r="172" spans="1:4" x14ac:dyDescent="0.25">
      <c r="A172" s="1" t="s">
        <v>45</v>
      </c>
      <c r="B172" s="2">
        <v>4</v>
      </c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21</v>
      </c>
      <c r="B185" s="4">
        <v>12</v>
      </c>
      <c r="C185" s="112" t="s">
        <v>74</v>
      </c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21</v>
      </c>
      <c r="B199" s="4">
        <v>12</v>
      </c>
      <c r="C199" s="112" t="s">
        <v>74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46</v>
      </c>
      <c r="B213" s="4">
        <v>12</v>
      </c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50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ht="27" x14ac:dyDescent="0.25">
      <c r="A227" s="5" t="s">
        <v>48</v>
      </c>
      <c r="B227" s="4">
        <v>12</v>
      </c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12</v>
      </c>
      <c r="C237" s="88" t="s">
        <v>50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ht="27" x14ac:dyDescent="0.25">
      <c r="A241" s="5" t="s">
        <v>49</v>
      </c>
      <c r="B241" s="4">
        <v>12</v>
      </c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12</v>
      </c>
      <c r="C251" s="88" t="s">
        <v>50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ht="27" x14ac:dyDescent="0.25">
      <c r="A255" s="5" t="s">
        <v>49</v>
      </c>
      <c r="B255" s="4">
        <v>12</v>
      </c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12</v>
      </c>
      <c r="C265" s="88" t="s">
        <v>50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81"/>
  <sheetViews>
    <sheetView tabSelected="1" topLeftCell="A133" workbookViewId="0">
      <selection activeCell="D143" sqref="D1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43481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2</v>
      </c>
      <c r="C3" s="9"/>
      <c r="D3" s="9"/>
    </row>
    <row r="4" spans="1:4" s="53" customFormat="1" x14ac:dyDescent="0.25">
      <c r="A4" s="1" t="s">
        <v>27</v>
      </c>
      <c r="B4" s="2">
        <v>9</v>
      </c>
      <c r="C4" s="10"/>
      <c r="D4" s="10"/>
    </row>
    <row r="5" spans="1:4" s="53" customFormat="1" x14ac:dyDescent="0.25">
      <c r="A5" s="1" t="s">
        <v>75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24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43488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4</v>
      </c>
      <c r="C22" s="9"/>
      <c r="D22" s="9"/>
    </row>
    <row r="23" spans="1:9" x14ac:dyDescent="0.25">
      <c r="A23" s="1" t="s">
        <v>29</v>
      </c>
      <c r="B23" s="2">
        <v>5</v>
      </c>
      <c r="C23" s="10"/>
      <c r="D23" s="10"/>
    </row>
    <row r="24" spans="1:9" x14ac:dyDescent="0.25">
      <c r="A24" s="1" t="s">
        <v>40</v>
      </c>
      <c r="B24" s="2">
        <v>2</v>
      </c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75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24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43495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5</v>
      </c>
      <c r="C41" s="9"/>
      <c r="D41" s="9"/>
    </row>
    <row r="42" spans="1:9" ht="27" x14ac:dyDescent="0.25">
      <c r="A42" s="1" t="s">
        <v>31</v>
      </c>
      <c r="B42" s="2">
        <v>6</v>
      </c>
      <c r="C42" s="10"/>
      <c r="D42" s="10"/>
    </row>
    <row r="43" spans="1:9" x14ac:dyDescent="0.25">
      <c r="A43" s="1" t="s">
        <v>75</v>
      </c>
      <c r="B43" s="2">
        <v>1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24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43502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34</v>
      </c>
      <c r="B60" s="4">
        <v>6</v>
      </c>
      <c r="C60" s="9"/>
      <c r="D60" s="9"/>
    </row>
    <row r="61" spans="1:4" x14ac:dyDescent="0.25">
      <c r="A61" s="1" t="s">
        <v>35</v>
      </c>
      <c r="B61" s="2">
        <v>5</v>
      </c>
      <c r="C61" s="10"/>
      <c r="D61" s="10"/>
    </row>
    <row r="62" spans="1:4" x14ac:dyDescent="0.25">
      <c r="A62" s="1" t="s">
        <v>75</v>
      </c>
      <c r="B62" s="2">
        <v>1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24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43509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36</v>
      </c>
      <c r="B79" s="4">
        <v>5</v>
      </c>
      <c r="C79" s="9"/>
      <c r="D79" s="9"/>
    </row>
    <row r="80" spans="1:4" x14ac:dyDescent="0.25">
      <c r="A80" s="1" t="s">
        <v>37</v>
      </c>
      <c r="B80" s="2">
        <v>4</v>
      </c>
      <c r="C80" s="10"/>
      <c r="D80" s="10"/>
    </row>
    <row r="81" spans="1:4" ht="27" x14ac:dyDescent="0.25">
      <c r="A81" s="1" t="s">
        <v>38</v>
      </c>
      <c r="B81" s="2">
        <v>2</v>
      </c>
      <c r="C81" s="10"/>
      <c r="D81" s="10"/>
    </row>
    <row r="82" spans="1:4" x14ac:dyDescent="0.25">
      <c r="A82" s="1" t="s">
        <v>75</v>
      </c>
      <c r="B82" s="2">
        <v>1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24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43516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38</v>
      </c>
      <c r="B98" s="4">
        <v>5</v>
      </c>
      <c r="C98" s="9"/>
      <c r="D98" s="9"/>
    </row>
    <row r="99" spans="1:4" x14ac:dyDescent="0.25">
      <c r="A99" s="1" t="s">
        <v>37</v>
      </c>
      <c r="B99" s="2">
        <v>6</v>
      </c>
      <c r="C99" s="10"/>
      <c r="D99" s="10"/>
    </row>
    <row r="100" spans="1:4" x14ac:dyDescent="0.25">
      <c r="A100" s="1" t="s">
        <v>75</v>
      </c>
      <c r="B100" s="2">
        <v>1</v>
      </c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24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43523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12</v>
      </c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24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43530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38</v>
      </c>
      <c r="B136" s="4">
        <v>4</v>
      </c>
      <c r="C136" s="9"/>
      <c r="D136" s="9"/>
    </row>
    <row r="137" spans="1:4" x14ac:dyDescent="0.25">
      <c r="A137" s="1" t="s">
        <v>33</v>
      </c>
      <c r="B137" s="2">
        <v>2</v>
      </c>
      <c r="C137" s="10"/>
      <c r="D137" s="10"/>
    </row>
    <row r="138" spans="1:4" x14ac:dyDescent="0.25">
      <c r="A138" s="1" t="s">
        <v>41</v>
      </c>
      <c r="B138" s="2">
        <v>3</v>
      </c>
      <c r="C138" s="10"/>
      <c r="D138" s="10"/>
    </row>
    <row r="139" spans="1:4" x14ac:dyDescent="0.25">
      <c r="A139" s="1" t="s">
        <v>42</v>
      </c>
      <c r="B139" s="2">
        <v>2</v>
      </c>
      <c r="C139" s="10"/>
      <c r="D139" s="10"/>
    </row>
    <row r="140" spans="1:4" x14ac:dyDescent="0.25">
      <c r="A140" s="1" t="s">
        <v>75</v>
      </c>
      <c r="B140" s="2">
        <v>1</v>
      </c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24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43537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32</v>
      </c>
      <c r="B155" s="4">
        <v>3</v>
      </c>
      <c r="C155" s="9"/>
      <c r="D155" s="9"/>
    </row>
    <row r="156" spans="1:4" x14ac:dyDescent="0.25">
      <c r="A156" s="1" t="s">
        <v>32</v>
      </c>
      <c r="B156" s="2">
        <v>3</v>
      </c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6</v>
      </c>
      <c r="C170" s="124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43544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124" t="s">
        <v>50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43551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124" t="s">
        <v>50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43558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124" t="s">
        <v>50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43565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124" t="s">
        <v>50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43572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 t="s">
        <v>21</v>
      </c>
      <c r="B250" s="4">
        <v>12</v>
      </c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12</v>
      </c>
      <c r="C265" s="124" t="s">
        <v>50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43579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 t="s">
        <v>21</v>
      </c>
      <c r="B269" s="4">
        <v>12</v>
      </c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12</v>
      </c>
      <c r="C284" s="124" t="s">
        <v>50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43586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124" t="s">
        <v>50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43593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124" t="s">
        <v>50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43600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0</v>
      </c>
      <c r="C341" s="124" t="s">
        <v>50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43607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0</v>
      </c>
      <c r="C360" s="124" t="s">
        <v>50</v>
      </c>
      <c r="D360" s="49"/>
    </row>
    <row r="361" spans="1:4" ht="15" thickBot="1" x14ac:dyDescent="0.35">
      <c r="A361" s="50"/>
      <c r="B361" s="50"/>
      <c r="C361" s="50"/>
      <c r="D361" s="50"/>
    </row>
    <row r="362" spans="1:4" ht="18.75" thickBot="1" x14ac:dyDescent="0.3">
      <c r="A362" s="43" t="s">
        <v>14</v>
      </c>
      <c r="B362" s="44">
        <v>20</v>
      </c>
      <c r="C362" s="45" t="s">
        <v>23</v>
      </c>
      <c r="D362" s="54">
        <f>$D$343+7</f>
        <v>43614</v>
      </c>
    </row>
    <row r="363" spans="1:4" ht="27.75" thickBot="1" x14ac:dyDescent="0.3">
      <c r="A363" s="46" t="s">
        <v>3</v>
      </c>
      <c r="B363" s="47" t="s">
        <v>15</v>
      </c>
      <c r="C363" s="46" t="s">
        <v>7</v>
      </c>
      <c r="D363" s="46" t="s">
        <v>13</v>
      </c>
    </row>
    <row r="364" spans="1:4" x14ac:dyDescent="0.25">
      <c r="A364" s="5"/>
      <c r="B364" s="4"/>
      <c r="C364" s="9"/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1"/>
      <c r="B376" s="51"/>
      <c r="C376" s="52"/>
      <c r="D376" s="52"/>
    </row>
    <row r="377" spans="1:4" x14ac:dyDescent="0.25">
      <c r="A377" s="51"/>
      <c r="B377" s="51"/>
      <c r="C377" s="52"/>
      <c r="D377" s="52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8" t="s">
        <v>22</v>
      </c>
      <c r="B379" s="48">
        <f>SUM(B364:B378)</f>
        <v>0</v>
      </c>
      <c r="C379" s="124" t="s">
        <v>50</v>
      </c>
      <c r="D379" s="49"/>
    </row>
    <row r="380" spans="1:4" ht="14.25" x14ac:dyDescent="0.3">
      <c r="A380" s="50"/>
      <c r="B380" s="50"/>
      <c r="C380" s="50"/>
      <c r="D380" s="50"/>
    </row>
    <row r="381" spans="1:4" x14ac:dyDescent="0.25">
      <c r="A381" s="89" t="s">
        <v>51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Filipe Andrade Barros</cp:lastModifiedBy>
  <cp:lastPrinted>2013-08-29T11:33:15Z</cp:lastPrinted>
  <dcterms:created xsi:type="dcterms:W3CDTF">1996-10-21T11:03:58Z</dcterms:created>
  <dcterms:modified xsi:type="dcterms:W3CDTF">2019-05-01T14:30:48Z</dcterms:modified>
</cp:coreProperties>
</file>